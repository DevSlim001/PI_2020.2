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Área de Trabalho\Trabalhos Fatec\PI2020 - Sprint3\"/>
    </mc:Choice>
  </mc:AlternateContent>
  <xr:revisionPtr revIDLastSave="0" documentId="13_ncr:1_{22C034BA-88E9-4DBB-92AC-7C1601BB48E6}" xr6:coauthVersionLast="45" xr6:coauthVersionMax="45" xr10:uidLastSave="{00000000-0000-0000-0000-000000000000}"/>
  <bookViews>
    <workbookView xWindow="-120" yWindow="-120" windowWidth="20730" windowHeight="11160" xr2:uid="{8B578BFD-82F7-402A-A41A-F4A22B2360B8}"/>
  </bookViews>
  <sheets>
    <sheet name="Atividades" sheetId="1" r:id="rId1"/>
  </sheets>
  <definedNames>
    <definedName name="Restante">OFFSET(Atividades!$B$12,0,0,1,COUNT(Atividades!$B$12:$Q$12))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  <c r="B13" i="1" s="1"/>
  <c r="C13" i="1" s="1"/>
  <c r="D13" i="1" s="1"/>
  <c r="E13" i="1" s="1"/>
  <c r="F13" i="1" s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C12" i="1" l="1"/>
  <c r="D12" i="1" s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</calcChain>
</file>

<file path=xl/sharedStrings.xml><?xml version="1.0" encoding="utf-8"?>
<sst xmlns="http://schemas.openxmlformats.org/spreadsheetml/2006/main" count="29" uniqueCount="29">
  <si>
    <t>Atividades 10</t>
  </si>
  <si>
    <t>Total de Horas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</si>
  <si>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</si>
  <si>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</si>
  <si>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</si>
  <si>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</si>
  <si>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</si>
  <si>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</si>
  <si>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</si>
  <si>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</si>
  <si>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</si>
  <si>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</si>
  <si>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</si>
  <si>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</si>
  <si>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</si>
  <si>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</si>
  <si>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</si>
  <si>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Restante</t>
  </si>
  <si>
    <t>Estimado</t>
  </si>
  <si>
    <t>Burndown.xlsm</t>
  </si>
  <si>
    <t>Arrumar git</t>
  </si>
  <si>
    <t>Validação de dados</t>
  </si>
  <si>
    <t>Pesquisa/Painel funcionário</t>
  </si>
  <si>
    <t>Desing Telas Swing</t>
  </si>
  <si>
    <t>Mudar banco de dados</t>
  </si>
  <si>
    <t>Documentação P.I</t>
  </si>
  <si>
    <t>Adicionar veículos ao banco</t>
  </si>
  <si>
    <t>Funcionário poder excluir Veículo ou motorísta do banco</t>
  </si>
  <si>
    <t>Telas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</si>
</sst>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Atividades!$B$1:$Q$1</c:f>
              <c:strCache>
                <c:ptCount val="16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6"/>
                <c:pt idx="0">
                  <c:v>54</c:v>
                </c:pt>
                <c:pt idx="1">
                  <c:v>50.5</c:v>
                </c:pt>
                <c:pt idx="2">
                  <c:v>45.5</c:v>
                </c:pt>
                <c:pt idx="3">
                  <c:v>41</c:v>
                </c:pt>
                <c:pt idx="4">
                  <c:v>36</c:v>
                </c:pt>
                <c:pt idx="5">
                  <c:v>26</c:v>
                </c:pt>
                <c:pt idx="6">
                  <c:v>24</c:v>
                </c:pt>
                <c:pt idx="7">
                  <c:v>23</c:v>
                </c:pt>
                <c:pt idx="8">
                  <c:v>18</c:v>
                </c:pt>
                <c:pt idx="9">
                  <c:v>16</c:v>
                </c:pt>
                <c:pt idx="10">
                  <c:v>15.5</c:v>
                </c:pt>
                <c:pt idx="11">
                  <c:v>10.5</c:v>
                </c:pt>
                <c:pt idx="12">
                  <c:v>7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85-9FF5-5C4B9517FFEF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Atividades!$B$1:$Q$1</c:f>
              <c:strCache>
                <c:ptCount val="16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</c:strCache>
            </c:strRef>
          </c:cat>
          <c:val>
            <c:numRef>
              <c:f>Atividades!$B$13:$Q$13</c:f>
              <c:numCache>
                <c:formatCode>General</c:formatCode>
                <c:ptCount val="16"/>
                <c:pt idx="0">
                  <c:v>54</c:v>
                </c:pt>
                <c:pt idx="1">
                  <c:v>50.4</c:v>
                </c:pt>
                <c:pt idx="2">
                  <c:v>46.8</c:v>
                </c:pt>
                <c:pt idx="3">
                  <c:v>43.199999999999996</c:v>
                </c:pt>
                <c:pt idx="4">
                  <c:v>39.599999999999994</c:v>
                </c:pt>
                <c:pt idx="5">
                  <c:v>35.999999999999993</c:v>
                </c:pt>
                <c:pt idx="6">
                  <c:v>32.399999999999991</c:v>
                </c:pt>
                <c:pt idx="7">
                  <c:v>28.79999999999999</c:v>
                </c:pt>
                <c:pt idx="8">
                  <c:v>25.199999999999989</c:v>
                </c:pt>
                <c:pt idx="9">
                  <c:v>21.599999999999987</c:v>
                </c:pt>
                <c:pt idx="10">
                  <c:v>17.999999999999986</c:v>
                </c:pt>
                <c:pt idx="11">
                  <c:v>14.399999999999986</c:v>
                </c:pt>
                <c:pt idx="12">
                  <c:v>10.799999999999986</c:v>
                </c:pt>
                <c:pt idx="13">
                  <c:v>7.1999999999999869</c:v>
                </c:pt>
                <c:pt idx="14">
                  <c:v>3.5999999999999868</c:v>
                </c:pt>
                <c:pt idx="15">
                  <c:v>-1.3322676295501878E-14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EC-4585-9FF5-5C4B9517FFEF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62329663"/>
        <c:axId val="10258607"/>
      </c:lineChart>
      <c:catAx>
        <c:axId val="20623296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58607"/>
        <c:crosses val="autoZero"/>
        <c:auto val="1"/>
        <c:lblAlgn val="ctr"/>
        <c:lblOffset val="100"/>
        <c:noMultiLvlLbl val="0"/>
      </c:catAx>
      <c:valAx>
        <c:axId val="10258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232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23811</xdr:rowOff>
    </xdr:from>
    <xdr:to>
      <xdr:col>17</xdr:col>
      <xdr:colOff>9525</xdr:colOff>
      <xdr:row>26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C9571A1-7070-464F-A022-980C82AC8C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7CE3B-5B9D-48BD-A902-44690E56F031}">
  <dimension ref="A1:Q18"/>
  <sheetViews>
    <sheetView tabSelected="1" zoomScale="90" zoomScaleNormal="90" workbookViewId="0">
      <pane ySplit="1" topLeftCell="A2" activePane="bottomLeft" state="frozen"/>
      <selection pane="bottomLeft" activeCell="Q11" sqref="Q11"/>
    </sheetView>
  </sheetViews>
  <sheetFormatPr defaultRowHeight="15" x14ac:dyDescent="0.25"/>
  <cols>
    <col min="1" max="1" width="38.42578125" style="1" customWidth="1"/>
    <col min="2" max="2" width="13.7109375" style="1" bestFit="1" customWidth="1"/>
    <col min="3" max="17" width="9.140625" style="1"/>
  </cols>
  <sheetData>
    <row r="1" spans="1:17" x14ac:dyDescent="0.25">
      <c r="A1" s="3"/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</row>
    <row r="2" spans="1:17" x14ac:dyDescent="0.25">
      <c r="A2" s="2" t="s">
        <v>28</v>
      </c>
      <c r="B2" s="2">
        <v>12</v>
      </c>
      <c r="C2" s="2">
        <v>0.5</v>
      </c>
      <c r="D2" s="2">
        <v>2</v>
      </c>
      <c r="E2" s="2">
        <v>1</v>
      </c>
      <c r="F2" s="2">
        <v>2</v>
      </c>
      <c r="G2" s="2">
        <v>3</v>
      </c>
      <c r="H2" s="2">
        <v>0</v>
      </c>
      <c r="I2" s="2">
        <v>0</v>
      </c>
      <c r="J2" s="2">
        <v>3</v>
      </c>
      <c r="K2" s="2">
        <v>0</v>
      </c>
      <c r="L2" s="2">
        <v>0</v>
      </c>
      <c r="M2" s="2">
        <v>0</v>
      </c>
      <c r="N2" s="2">
        <v>0.5</v>
      </c>
      <c r="O2" s="2">
        <v>0</v>
      </c>
      <c r="P2" s="2">
        <v>0</v>
      </c>
      <c r="Q2" s="2">
        <v>0</v>
      </c>
    </row>
    <row r="3" spans="1:17" x14ac:dyDescent="0.25">
      <c r="A3" s="2" t="s">
        <v>21</v>
      </c>
      <c r="B3" s="2">
        <v>8</v>
      </c>
      <c r="C3" s="2">
        <v>1</v>
      </c>
      <c r="D3" s="2">
        <v>3</v>
      </c>
      <c r="E3" s="2">
        <v>0</v>
      </c>
      <c r="F3" s="2">
        <v>2</v>
      </c>
      <c r="G3" s="2">
        <v>1</v>
      </c>
      <c r="H3" s="2">
        <v>0</v>
      </c>
      <c r="I3" s="2">
        <v>0</v>
      </c>
      <c r="J3" s="2">
        <v>0</v>
      </c>
      <c r="K3" s="2">
        <v>1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</row>
    <row r="4" spans="1:17" x14ac:dyDescent="0.25">
      <c r="A4" s="2" t="s">
        <v>22</v>
      </c>
      <c r="B4" s="2">
        <v>8</v>
      </c>
      <c r="C4" s="2">
        <v>0</v>
      </c>
      <c r="D4" s="2">
        <v>0</v>
      </c>
      <c r="E4" s="2">
        <v>0</v>
      </c>
      <c r="F4" s="2">
        <v>0</v>
      </c>
      <c r="G4" s="2">
        <v>1</v>
      </c>
      <c r="H4" s="2">
        <v>0</v>
      </c>
      <c r="I4" s="2">
        <v>0</v>
      </c>
      <c r="J4" s="2">
        <v>0</v>
      </c>
      <c r="K4" s="2">
        <v>1</v>
      </c>
      <c r="L4" s="2">
        <v>0</v>
      </c>
      <c r="M4" s="2">
        <v>3</v>
      </c>
      <c r="N4" s="2">
        <v>2</v>
      </c>
      <c r="O4" s="2">
        <v>1</v>
      </c>
      <c r="P4" s="2">
        <v>0</v>
      </c>
      <c r="Q4" s="2">
        <v>0</v>
      </c>
    </row>
    <row r="5" spans="1:17" x14ac:dyDescent="0.25">
      <c r="A5" s="2" t="s">
        <v>23</v>
      </c>
      <c r="B5" s="2">
        <v>4</v>
      </c>
      <c r="C5" s="2">
        <v>1</v>
      </c>
      <c r="D5" s="2">
        <v>0</v>
      </c>
      <c r="E5" s="2">
        <v>1</v>
      </c>
      <c r="F5" s="2">
        <v>0</v>
      </c>
      <c r="G5" s="2">
        <v>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</row>
    <row r="6" spans="1:17" x14ac:dyDescent="0.25">
      <c r="A6" s="2" t="s">
        <v>20</v>
      </c>
      <c r="B6" s="2">
        <v>4</v>
      </c>
      <c r="C6" s="2">
        <v>0.5</v>
      </c>
      <c r="D6" s="2">
        <v>0</v>
      </c>
      <c r="E6" s="2">
        <v>0</v>
      </c>
      <c r="F6" s="2">
        <v>0.5</v>
      </c>
      <c r="G6" s="2">
        <v>0</v>
      </c>
      <c r="H6" s="2">
        <v>0</v>
      </c>
      <c r="I6" s="2">
        <v>0</v>
      </c>
      <c r="J6" s="2">
        <v>2</v>
      </c>
      <c r="K6" s="2">
        <v>0</v>
      </c>
      <c r="L6" s="2">
        <v>0</v>
      </c>
      <c r="M6" s="2">
        <v>0</v>
      </c>
      <c r="N6" s="2">
        <v>0</v>
      </c>
      <c r="O6" s="2">
        <v>1</v>
      </c>
      <c r="P6" s="2">
        <v>1</v>
      </c>
      <c r="Q6" s="2">
        <v>0</v>
      </c>
    </row>
    <row r="7" spans="1:17" x14ac:dyDescent="0.25">
      <c r="A7" s="2" t="s">
        <v>24</v>
      </c>
      <c r="B7" s="2">
        <v>7</v>
      </c>
      <c r="C7" s="2">
        <v>0</v>
      </c>
      <c r="D7" s="2">
        <v>0</v>
      </c>
      <c r="E7" s="2">
        <v>2</v>
      </c>
      <c r="F7" s="2">
        <v>0</v>
      </c>
      <c r="G7" s="2">
        <v>1</v>
      </c>
      <c r="H7" s="2">
        <v>0</v>
      </c>
      <c r="I7" s="2">
        <v>1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2</v>
      </c>
      <c r="P7" s="2">
        <v>1</v>
      </c>
      <c r="Q7" s="2">
        <v>0</v>
      </c>
    </row>
    <row r="8" spans="1:17" x14ac:dyDescent="0.25">
      <c r="A8" s="2" t="s">
        <v>25</v>
      </c>
      <c r="B8" s="2">
        <v>3</v>
      </c>
      <c r="C8" s="2">
        <v>0</v>
      </c>
      <c r="D8" s="2">
        <v>0</v>
      </c>
      <c r="E8" s="2">
        <v>0.5</v>
      </c>
      <c r="F8" s="2">
        <v>0</v>
      </c>
      <c r="G8" s="2">
        <v>1</v>
      </c>
      <c r="H8" s="2">
        <v>0</v>
      </c>
      <c r="I8" s="2">
        <v>0</v>
      </c>
      <c r="J8" s="2">
        <v>0</v>
      </c>
      <c r="K8" s="2">
        <v>0</v>
      </c>
      <c r="L8" s="2">
        <v>0.5</v>
      </c>
      <c r="M8" s="2">
        <v>0</v>
      </c>
      <c r="N8" s="2">
        <v>0</v>
      </c>
      <c r="O8" s="2">
        <v>0</v>
      </c>
      <c r="P8" s="2">
        <v>0</v>
      </c>
      <c r="Q8" s="2">
        <v>1</v>
      </c>
    </row>
    <row r="9" spans="1:17" x14ac:dyDescent="0.25">
      <c r="A9" s="2" t="s">
        <v>26</v>
      </c>
      <c r="B9" s="2">
        <v>3</v>
      </c>
      <c r="C9" s="2">
        <v>0.5</v>
      </c>
      <c r="D9" s="2">
        <v>0</v>
      </c>
      <c r="E9" s="2">
        <v>0</v>
      </c>
      <c r="F9" s="2">
        <v>0.5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1</v>
      </c>
      <c r="O9" s="2">
        <v>0</v>
      </c>
      <c r="P9" s="2">
        <v>0</v>
      </c>
      <c r="Q9" s="2">
        <v>0</v>
      </c>
    </row>
    <row r="10" spans="1:17" x14ac:dyDescent="0.25">
      <c r="A10" s="2" t="s">
        <v>27</v>
      </c>
      <c r="B10" s="2">
        <v>5</v>
      </c>
      <c r="C10" s="2">
        <v>0</v>
      </c>
      <c r="D10" s="2">
        <v>0</v>
      </c>
      <c r="E10" s="2">
        <v>0</v>
      </c>
      <c r="F10" s="2">
        <v>0</v>
      </c>
      <c r="G10" s="2">
        <v>1</v>
      </c>
      <c r="H10" s="2">
        <v>2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 s="2">
        <v>0</v>
      </c>
      <c r="O10" s="2">
        <v>0</v>
      </c>
      <c r="P10" s="2">
        <v>0</v>
      </c>
      <c r="Q10" s="2">
        <v>0</v>
      </c>
    </row>
    <row r="11" spans="1:17" x14ac:dyDescent="0.25">
      <c r="A11" s="2" t="s">
        <v>0</v>
      </c>
      <c r="B11" s="2"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4" t="s">
        <v>17</v>
      </c>
      <c r="B12" s="3">
        <f>SUM(B2:B11)</f>
        <v>54</v>
      </c>
      <c r="C12" s="3">
        <f>IF(SUM(C2:C11)&gt;0,B12-SUM(C2:C11),"")</f>
        <v>50.5</v>
      </c>
      <c r="D12" s="3">
        <f t="shared" ref="D12:Q12" si="0">IF(SUM(D2:D11)&gt;0,C12-SUM(D2:D11),"")</f>
        <v>45.5</v>
      </c>
      <c r="E12" s="3">
        <f t="shared" si="0"/>
        <v>41</v>
      </c>
      <c r="F12" s="3">
        <f t="shared" si="0"/>
        <v>36</v>
      </c>
      <c r="G12" s="3">
        <f t="shared" si="0"/>
        <v>26</v>
      </c>
      <c r="H12" s="3">
        <f t="shared" si="0"/>
        <v>24</v>
      </c>
      <c r="I12" s="3">
        <f t="shared" si="0"/>
        <v>23</v>
      </c>
      <c r="J12" s="3">
        <f t="shared" si="0"/>
        <v>18</v>
      </c>
      <c r="K12" s="3">
        <f t="shared" si="0"/>
        <v>16</v>
      </c>
      <c r="L12" s="3">
        <f t="shared" si="0"/>
        <v>15.5</v>
      </c>
      <c r="M12" s="3">
        <f t="shared" si="0"/>
        <v>10.5</v>
      </c>
      <c r="N12" s="3">
        <f t="shared" si="0"/>
        <v>7</v>
      </c>
      <c r="O12" s="3">
        <f t="shared" si="0"/>
        <v>3</v>
      </c>
      <c r="P12" s="3">
        <f t="shared" si="0"/>
        <v>1</v>
      </c>
      <c r="Q12" s="3">
        <f t="shared" si="0"/>
        <v>0</v>
      </c>
    </row>
    <row r="13" spans="1:17" x14ac:dyDescent="0.25">
      <c r="A13" s="4" t="s">
        <v>18</v>
      </c>
      <c r="B13" s="3">
        <f>B12</f>
        <v>54</v>
      </c>
      <c r="C13" s="3">
        <f>B13-($B$13/COUNTA($C$1:$Q$1))</f>
        <v>50.4</v>
      </c>
      <c r="D13" s="3">
        <f t="shared" ref="D13:Q13" si="1">C13-($B$13/COUNTA($C$1:$Q$1))</f>
        <v>46.8</v>
      </c>
      <c r="E13" s="3">
        <f t="shared" si="1"/>
        <v>43.199999999999996</v>
      </c>
      <c r="F13" s="3">
        <f t="shared" si="1"/>
        <v>39.599999999999994</v>
      </c>
      <c r="G13" s="3">
        <f t="shared" si="1"/>
        <v>35.999999999999993</v>
      </c>
      <c r="H13" s="3">
        <f t="shared" si="1"/>
        <v>32.399999999999991</v>
      </c>
      <c r="I13" s="3">
        <f t="shared" si="1"/>
        <v>28.79999999999999</v>
      </c>
      <c r="J13" s="3">
        <f t="shared" si="1"/>
        <v>25.199999999999989</v>
      </c>
      <c r="K13" s="3">
        <f t="shared" si="1"/>
        <v>21.599999999999987</v>
      </c>
      <c r="L13" s="3">
        <f t="shared" si="1"/>
        <v>17.999999999999986</v>
      </c>
      <c r="M13" s="3">
        <f t="shared" si="1"/>
        <v>14.399999999999986</v>
      </c>
      <c r="N13" s="3">
        <f t="shared" si="1"/>
        <v>10.799999999999986</v>
      </c>
      <c r="O13" s="3">
        <f t="shared" si="1"/>
        <v>7.1999999999999869</v>
      </c>
      <c r="P13" s="3">
        <f t="shared" si="1"/>
        <v>3.5999999999999868</v>
      </c>
      <c r="Q13" s="3">
        <f t="shared" si="1"/>
        <v>-1.3322676295501878E-14</v>
      </c>
    </row>
    <row r="18" spans="3:3" x14ac:dyDescent="0.25">
      <c r="C18" s="1" t="s">
        <v>19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Atividades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Cláudio</dc:creator>
  <cp:lastModifiedBy>Dell</cp:lastModifiedBy>
  <dcterms:created xsi:type="dcterms:W3CDTF">2020-05-26T20:43:25Z</dcterms:created>
  <dcterms:modified xsi:type="dcterms:W3CDTF">2020-11-06T02:44:59Z</dcterms:modified>
</cp:coreProperties>
</file>